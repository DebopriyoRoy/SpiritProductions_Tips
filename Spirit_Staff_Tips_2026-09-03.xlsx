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bd34e30d8440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p Hours" sheetId="1" r:id="R30492b1032534b83"/>
    <x:sheet xmlns:r="http://schemas.openxmlformats.org/officeDocument/2006/relationships" name="Night Staff" sheetId="2" r:id="Rbe7f5bb7c7a847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d, yyyy"/>
    <x:numFmt numFmtId="201" formatCode="0.00"/>
  </x:numFmts>
  <x:fonts count="9">
    <x:font>
      <x:sz val="11"/>
      <x:name val="Carlito"/>
    </x:font>
    <x:font>
      <x:b/>
      <x:sz val="15"/>
      <x:color rgb="FF17365D"/>
      <x:name val="Arial"/>
    </x:font>
    <x:font>
      <x:b/>
      <x:sz val="10"/>
      <x:color rgb="FF374151"/>
      <x:name val="Arial"/>
    </x:font>
    <x:font>
      <x:i/>
      <x:sz val="9"/>
      <x:color rgb="FF6B7280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i/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B91C1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FDECEC"/>
      </x:patternFill>
    </x:fill>
  </x:fills>
  <x:borders count="8">
    <x:border/>
    <x:border>
      <x:bottom style="thin">
        <x:color rgb="FFC6A15B"/>
      </x:bottom>
    </x:border>
    <x:border>
      <x:left style="thin">
        <x:color rgb="FF9CA3AF"/>
      </x:left>
      <x:top style="thin">
        <x:color rgb="FF9CA3AF"/>
      </x:top>
    </x:border>
    <x:border>
      <x:right style="thin">
        <x:color rgb="FF9CA3AF"/>
      </x:right>
      <x:top style="thin">
        <x:color rgb="FF9CA3AF"/>
      </x:top>
    </x:border>
    <x:border>
      <x:left style="thin">
        <x:color rgb="FF9CA3AF"/>
      </x:left>
    </x:border>
    <x:border>
      <x:right style="thin">
        <x:color rgb="FF9CA3AF"/>
      </x:right>
    </x:border>
    <x:border>
      <x:left style="thin">
        <x:color rgb="FF9CA3AF"/>
      </x:left>
      <x:bottom style="thin">
        <x:color rgb="FF9CA3AF"/>
      </x:bottom>
    </x:border>
    <x:border>
      <x:right style="thin">
        <x:color rgb="FF9CA3AF"/>
      </x:right>
      <x:bottom style="thin">
        <x:color rgb="FF9CA3AF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1" xfId="0" applyNumberFormat="1" applyFont="1" applyFill="1" applyBorder="1"/>
    <x:xf numFmtId="200" fontId="2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2" borderId="2" xfId="0" applyNumberFormat="1" applyFont="1" applyFill="1" applyBorder="1"/>
    <x:xf numFmtId="0" fontId="0" fillId="2" borderId="4" xfId="0" applyNumberFormat="1" applyFont="1" applyFill="1" applyBorder="1"/>
    <x:xf numFmtId="0" fontId="0" fillId="2" borderId="6" xfId="0" applyNumberFormat="1" applyFont="1" applyFill="1" applyBorder="1"/>
    <x:xf numFmtId="0" fontId="4" fillId="2" borderId="2" xfId="0" applyNumberFormat="1" applyFont="1" applyFill="1" applyBorder="1"/>
    <x:xf numFmtId="0" fontId="4" fillId="2" borderId="4" xfId="0" applyNumberFormat="1" applyFont="1" applyFill="1" applyBorder="1"/>
    <x:xf numFmtId="0" fontId="4" fillId="2" borderId="6" xfId="0" applyNumberFormat="1" applyFont="1" applyFill="1" applyBorder="1"/>
    <x:xf numFmtId="201" fontId="0" fillId="0" borderId="0" xfId="0" applyNumberFormat="1" applyFont="1" applyFill="1" applyBorder="1"/>
    <x:xf numFmtId="201" fontId="0" fillId="0" borderId="3" xfId="0" applyNumberFormat="1" applyFont="1" applyFill="1" applyBorder="1"/>
    <x:xf numFmtId="201" fontId="0" fillId="0" borderId="5" xfId="0" applyNumberFormat="1" applyFont="1" applyFill="1" applyBorder="1"/>
    <x:xf numFmtId="201" fontId="0" fillId="0" borderId="7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0" fontId="6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left"/>
    </x:xf>
    <x:xf numFmtId="201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wrapText="1"/>
    </x:xf>
    <x:xf numFmtId="201" fontId="5" fillId="0" borderId="3" xfId="0" applyNumberFormat="1" applyFont="1" applyFill="1" applyBorder="1"/>
    <x:xf numFmtId="201" fontId="5" fillId="0" borderId="5" xfId="0" applyNumberFormat="1" applyFont="1" applyFill="1" applyBorder="1"/>
    <x:xf numFmtId="201" fontId="5" fillId="0" borderId="7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left" vertical="center"/>
    </x:xf>
    <x:xf numFmtId="201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0" fontId="4" fillId="2" borderId="6" xfId="0" applyNumberFormat="1" applyFont="1" applyFill="1" applyBorder="1" applyAlignment="1">
      <x:alignment vertical="center"/>
    </x:xf>
    <x:xf numFmtId="201" fontId="5" fillId="0" borderId="7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left" vertical="center"/>
    </x:xf>
    <x:xf numFmtId="201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e98c76b93a4a23" /><Relationship Type="http://schemas.openxmlformats.org/officeDocument/2006/relationships/theme" Target="/xl/theme/theme1.xml" Id="Rb0c2b265e6f6499b" /><Relationship Type="http://schemas.openxmlformats.org/officeDocument/2006/relationships/sharedStrings" Target="/xl/sharedStrings.xml" Id="R3d537d18e61d43bb" /><Relationship Type="http://schemas.openxmlformats.org/officeDocument/2006/relationships/worksheet" Target="/xl/worksheets/sheet1.xml" Id="R30492b1032534b83" /><Relationship Type="http://schemas.openxmlformats.org/officeDocument/2006/relationships/worksheet" Target="/xl/worksheets/sheet2.xml" Id="Rbe7f5bb7c7a8478c" /></Relationships>
</file>

<file path=xl/tables/table1.xml><?xml version="1.0" encoding="utf-8"?>
<x:table xmlns:x="http://schemas.openxmlformats.org/spreadsheetml/2006/main" id="1" name="TipHours_20260903" displayName="TipHours_20260903" ref="A6:F20" headerRowCount="1" totalsRowCount="0" totalsRowShown="0">
  <x:autoFilter ref="A6:F20"/>
  <x:tableColumns count="6">
    <x:tableColumn id="1" name="Last Name"/>
    <x:tableColumn id="2" name="First Name"/>
    <x:tableColumn id="3" name="Job Title"/>
    <x:tableColumn id="4" name="Regular Hours"/>
    <x:tableColumn id="5" name="Included in Total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ightStaff_20260903" displayName="NightStaff_20260903" ref="A7:D29" headerRowCount="1" totalsRowCount="0" totalsRowShown="0">
  <x:autoFilter ref="A7:D29"/>
  <x:tableColumns count="4">
    <x:tableColumn id="1" name="Role"/>
    <x:tableColumn id="2" name="Name"/>
    <x:tableColumn id="3" name="Checked on Source"/>
    <x:tableColumn id="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38257a733e47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55a585e818b42e7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0" hidden="0" customWidth="1"/>
    <x:col min="4" max="4" width="15" hidden="0" customWidth="1"/>
    <x:col min="5" max="5" width="18" hidden="0" customWidth="1"/>
    <x:col min="6" max="6" width="48" hidden="0" customWidth="1"/>
  </x:cols>
  <x:sheetData>
    <x:row r="1" ht="10" customHeight="1"/>
    <x:row r="2" ht="24" customHeight="1">
      <x:c r="A2" s="53" t="str">
        <x:v>Spirit Staff Tip Hours</x:v>
      </x:c>
      <x:c r="B2" s="39"/>
      <x:c r="C2" s="39"/>
      <x:c r="D2" s="39"/>
      <x:c r="E2" s="39"/>
      <x:c r="F2" s="39"/>
    </x:row>
    <x:row r="3">
      <x:c r="A3" s="40" t="str">
        <x:v>Date</x:v>
      </x:c>
      <x:c r="B3" s="41" t="n">
        <x:v>46268</x:v>
      </x:c>
      <x:c r="C3" s="40" t="str"/>
      <x:c r="D3" s="40" t="str">
        <x:v>Show</x:v>
      </x:c>
      <x:c r="E3" s="40" t="str">
        <x:v>Home Sweet Home-I-Cide</x:v>
      </x:c>
      <x:c r="F3" s="40" t="str"/>
    </x:row>
    <x:row r="4" ht="20" customHeight="1">
      <x:c r="A4" s="38" t="str">
        <x:v>Source</x:v>
      </x:c>
      <x:c r="B4" s="42" t="str">
        <x:v>september-03-2026(1).pdf, page 1</x:v>
      </x:c>
      <x:c r="C4" s="42" t="str"/>
      <x:c r="D4" s="42" t="str"/>
      <x:c r="E4" s="42" t="str"/>
      <x:c r="F4" s="42" t="str"/>
    </x:row>
    <x:row r="5">
      <x:c r="A5" s="39"/>
      <x:c r="B5" s="39"/>
      <x:c r="C5" s="39"/>
      <x:c r="D5" s="39"/>
      <x:c r="E5" s="39"/>
      <x:c r="F5" s="39"/>
    </x:row>
    <x:row r="6" ht="26" customHeight="1">
      <x:c r="A6" s="55" t="str">
        <x:v>Last Name</x:v>
      </x:c>
      <x:c r="B6" s="55" t="str">
        <x:v>First Name</x:v>
      </x:c>
      <x:c r="C6" s="55" t="str">
        <x:v>Job Title</x:v>
      </x:c>
      <x:c r="D6" s="55" t="str">
        <x:v>Regular Hours</x:v>
      </x:c>
      <x:c r="E6" s="55" t="str">
        <x:v>Included in Total</x:v>
      </x:c>
      <x:c r="F6" s="55" t="str">
        <x:v>Notes</x:v>
      </x:c>
    </x:row>
    <x:row r="7">
      <x:c r="A7" s="43" t="str">
        <x:v>Al-Lahut</x:v>
      </x:c>
      <x:c r="B7" s="43" t="str">
        <x:v>Svitlana</x:v>
      </x:c>
      <x:c r="C7" s="43" t="str">
        <x:v>Service</x:v>
      </x:c>
      <x:c r="D7" s="44" t="n">
        <x:v>4.98</x:v>
      </x:c>
      <x:c r="E7" s="45" t="str">
        <x:v>Yes</x:v>
      </x:c>
      <x:c r="F7" s="46" t="str"/>
    </x:row>
    <x:row r="8">
      <x:c r="A8" s="43" t="str">
        <x:v>Dickson</x:v>
      </x:c>
      <x:c r="B8" s="43" t="str">
        <x:v>Joleen</x:v>
      </x:c>
      <x:c r="C8" s="43" t="str">
        <x:v>Bartender</x:v>
      </x:c>
      <x:c r="D8" s="44" t="n">
        <x:v>7.08</x:v>
      </x:c>
      <x:c r="E8" s="45" t="str">
        <x:v>Yes</x:v>
      </x:c>
      <x:c r="F8" s="46" t="str"/>
    </x:row>
    <x:row r="9">
      <x:c r="A9" s="43" t="str">
        <x:v>Gordon</x:v>
      </x:c>
      <x:c r="B9" s="43" t="str">
        <x:v>Daniel</x:v>
      </x:c>
      <x:c r="C9" s="43" t="str">
        <x:v>Bartender</x:v>
      </x:c>
      <x:c r="D9" s="44" t="n">
        <x:v>4.97</x:v>
      </x:c>
      <x:c r="E9" s="45" t="str">
        <x:v>Yes</x:v>
      </x:c>
      <x:c r="F9" s="46" t="str"/>
    </x:row>
    <x:row r="10">
      <x:c r="A10" s="43" t="str">
        <x:v>Lundrigan</x:v>
      </x:c>
      <x:c r="B10" s="43" t="str">
        <x:v>Ash</x:v>
      </x:c>
      <x:c r="C10" s="43" t="str">
        <x:v>Kitchen</x:v>
      </x:c>
      <x:c r="D10" s="44" t="n">
        <x:v>4.83</x:v>
      </x:c>
      <x:c r="E10" s="45" t="str">
        <x:v>Yes</x:v>
      </x:c>
      <x:c r="F10" s="46" t="str"/>
    </x:row>
    <x:row r="11">
      <x:c r="A11" s="43" t="str">
        <x:v>Martynova</x:v>
      </x:c>
      <x:c r="B11" s="43" t="str">
        <x:v>Olena</x:v>
      </x:c>
      <x:c r="C11" s="43" t="str">
        <x:v>Service</x:v>
      </x:c>
      <x:c r="D11" s="44" t="n">
        <x:v>7.35</x:v>
      </x:c>
      <x:c r="E11" s="45" t="str">
        <x:v>Yes</x:v>
      </x:c>
      <x:c r="F11" s="46" t="str"/>
    </x:row>
    <x:row r="12">
      <x:c r="A12" s="43" t="str">
        <x:v>O'Reilly</x:v>
      </x:c>
      <x:c r="B12" s="43" t="str">
        <x:v>Colleen</x:v>
      </x:c>
      <x:c r="C12" s="43" t="str">
        <x:v>Chef</x:v>
      </x:c>
      <x:c r="D12" s="44" t="n">
        <x:v>6.85</x:v>
      </x:c>
      <x:c r="E12" s="45" t="str">
        <x:v>Yes</x:v>
      </x:c>
      <x:c r="F12" s="46" t="str"/>
    </x:row>
    <x:row r="13">
      <x:c r="A13" s="43" t="str">
        <x:v>Pasechniuk</x:v>
      </x:c>
      <x:c r="B13" s="43" t="str">
        <x:v>Yana</x:v>
      </x:c>
      <x:c r="C13" s="43" t="str">
        <x:v>50/50</x:v>
      </x:c>
      <x:c r="D13" s="44" t="n">
        <x:v>3.55</x:v>
      </x:c>
      <x:c r="E13" s="45" t="str">
        <x:v>Yes</x:v>
      </x:c>
      <x:c r="F13" s="46" t="str"/>
    </x:row>
    <x:row r="14">
      <x:c r="A14" s="43" t="str">
        <x:v>Penney</x:v>
      </x:c>
      <x:c r="B14" s="43" t="str">
        <x:v>Linda</x:v>
      </x:c>
      <x:c r="C14" s="43" t="str">
        <x:v>Service</x:v>
      </x:c>
      <x:c r="D14" s="44" t="n">
        <x:v>5.93</x:v>
      </x:c>
      <x:c r="E14" s="45" t="str">
        <x:v>Yes</x:v>
      </x:c>
      <x:c r="F14" s="46" t="str"/>
    </x:row>
    <x:row r="15">
      <x:c r="A15" s="56" t="str">
        <x:v>Philpot</x:v>
      </x:c>
      <x:c r="B15" s="56" t="str">
        <x:v>Paul</x:v>
      </x:c>
      <x:c r="C15" s="56" t="str">
        <x:v>Cleaner</x:v>
      </x:c>
      <x:c r="D15" s="57" t="n">
        <x:v>2.3</x:v>
      </x:c>
      <x:c r="E15" s="60" t="str">
        <x:v>No</x:v>
      </x:c>
      <x:c r="F15" s="59" t="str">
        <x:v>Crossed out on source; excluded from corrected total</x:v>
      </x:c>
    </x:row>
    <x:row r="16">
      <x:c r="A16" s="43" t="str">
        <x:v>Pynn</x:v>
      </x:c>
      <x:c r="B16" s="43" t="str">
        <x:v>Jackie</x:v>
      </x:c>
      <x:c r="C16" s="43" t="str">
        <x:v>Service</x:v>
      </x:c>
      <x:c r="D16" s="44" t="n">
        <x:v>8</x:v>
      </x:c>
      <x:c r="E16" s="45" t="str">
        <x:v>Yes</x:v>
      </x:c>
      <x:c r="F16" s="46" t="str"/>
    </x:row>
    <x:row r="17">
      <x:c r="A17" s="43" t="str">
        <x:v>Wall</x:v>
      </x:c>
      <x:c r="B17" s="43" t="str">
        <x:v>Jordan</x:v>
      </x:c>
      <x:c r="C17" s="43" t="str">
        <x:v>Kitchen</x:v>
      </x:c>
      <x:c r="D17" s="44" t="n">
        <x:v>3.4</x:v>
      </x:c>
      <x:c r="E17" s="45" t="str">
        <x:v>Yes</x:v>
      </x:c>
      <x:c r="F17" s="46" t="str"/>
    </x:row>
    <x:row r="18">
      <x:c r="A18" s="43" t="str">
        <x:v>Zavadetska</x:v>
      </x:c>
      <x:c r="B18" s="43" t="str">
        <x:v>Khrystyna</x:v>
      </x:c>
      <x:c r="C18" s="43" t="str">
        <x:v>Busser</x:v>
      </x:c>
      <x:c r="D18" s="44" t="n">
        <x:v>3.42</x:v>
      </x:c>
      <x:c r="E18" s="45" t="str">
        <x:v>Yes</x:v>
      </x:c>
      <x:c r="F18" s="46" t="str"/>
    </x:row>
    <x:row r="19">
      <x:c r="A19" s="43" t="str">
        <x:v>Zavadetska</x:v>
      </x:c>
      <x:c r="B19" s="43" t="str">
        <x:v>Marila</x:v>
      </x:c>
      <x:c r="C19" s="43" t="str">
        <x:v>Team Member</x:v>
      </x:c>
      <x:c r="D19" s="44" t="n">
        <x:v>7.08</x:v>
      </x:c>
      <x:c r="E19" s="45" t="str">
        <x:v>Yes</x:v>
      </x:c>
      <x:c r="F19" s="46" t="str"/>
    </x:row>
    <x:row r="20">
      <x:c r="A20" s="43" t="str">
        <x:v>Office</x:v>
      </x:c>
      <x:c r="B20" s="43" t="str"/>
      <x:c r="C20" s="43" t="str"/>
      <x:c r="D20" s="44" t="n">
        <x:v>6</x:v>
      </x:c>
      <x:c r="E20" s="45" t="str">
        <x:v>Yes</x:v>
      </x:c>
      <x:c r="F20" s="46" t="str"/>
    </x:row>
    <x:row r="21">
      <x:c r="A21" s="39"/>
      <x:c r="B21" s="39"/>
      <x:c r="C21" s="39"/>
      <x:c r="D21" s="44"/>
      <x:c r="E21" s="39"/>
      <x:c r="F21" s="39"/>
    </x:row>
    <x:row r="22">
      <x:c r="A22" s="39"/>
      <x:c r="B22" s="39"/>
      <x:c r="C22" s="47" t="str">
        <x:v>Calculated included hours</x:v>
      </x:c>
      <x:c r="D22" s="48" t="n">
        <x:f>SUMIFS(D7:D20,E7:E20,"Yes")</x:f>
        <x:v>73.44</x:v>
      </x:c>
      <x:c r="E22" s="39"/>
      <x:c r="F22" s="39"/>
    </x:row>
    <x:row r="23">
      <x:c r="A23" s="39"/>
      <x:c r="B23" s="39"/>
      <x:c r="C23" s="49" t="str">
        <x:v>Source reported total</x:v>
      </x:c>
      <x:c r="D23" s="50" t="n">
        <x:v>73.44</x:v>
      </x:c>
      <x:c r="E23" s="39"/>
      <x:c r="F23" s="39"/>
    </x:row>
    <x:row r="24">
      <x:c r="A24" s="39"/>
      <x:c r="B24" s="39"/>
      <x:c r="C24" s="51" t="str">
        <x:v>Difference</x:v>
      </x:c>
      <x:c r="D24" s="52" t="n">
        <x:f>D22-D23</x:f>
        <x:v>0</x:v>
      </x:c>
      <x:c r="E24" s="39"/>
      <x:c r="F24" s="39"/>
    </x:row>
  </x:sheetData>
  <x:pageMargins left="0.7" right="0.7" top="0.75" bottom="0.75" header="0.3" footer="0.3"/>
  <x:tableParts count="1">
    <x:tablePart xmlns:r="http://schemas.openxmlformats.org/officeDocument/2006/relationships" r:id="R8c38257a733e47f3"/>
  </x:tableParts>
</x:worksheet>
</file>

<file path=xl/worksheets/sheet2.xml><?xml version="1.0" encoding="utf-8"?>
<x:worksheet xmlns:x="http://schemas.openxmlformats.org/spreadsheetml/2006/main">
  <x:sheetPr>
    <x:tabColor rgb="FF4F81BD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9" hidden="0" customWidth="1"/>
    <x:col min="2" max="2" width="24" hidden="0" customWidth="1"/>
    <x:col min="3" max="3" width="20" hidden="0" customWidth="1"/>
    <x:col min="4" max="4" width="49" hidden="0" customWidth="1"/>
  </x:cols>
  <x:sheetData>
    <x:row r="1" ht="10" customHeight="1"/>
    <x:row r="2" ht="24" customHeight="1">
      <x:c r="A2" s="53" t="str">
        <x:v>Spirit Staff for the Night</x:v>
      </x:c>
      <x:c r="B2" s="39"/>
      <x:c r="C2" s="39"/>
      <x:c r="D2" s="39"/>
    </x:row>
    <x:row r="3">
      <x:c r="A3" s="40" t="str">
        <x:v>Date</x:v>
      </x:c>
      <x:c r="B3" s="41" t="n">
        <x:v>46268</x:v>
      </x:c>
      <x:c r="C3" s="40" t="str"/>
      <x:c r="D3" s="40" t="str">
        <x:v>Show</x:v>
      </x:c>
      <x:c r="E3" s="3" t="str">
        <x:v>Home Sweet Home-I-Cide</x:v>
      </x:c>
      <x:c r="F3" s="3" t="str"/>
    </x:row>
    <x:row r="4" ht="20" customHeight="1">
      <x:c r="A4" s="38" t="str">
        <x:v>Source</x:v>
      </x:c>
      <x:c r="B4" s="42" t="str">
        <x:v>staff_sept 03(1).pdf, page 1</x:v>
      </x:c>
      <x:c r="C4" s="42" t="str"/>
      <x:c r="D4" s="42" t="str"/>
      <x:c r="E4" s="6" t="str"/>
      <x:c r="F4" s="6" t="str"/>
    </x:row>
    <x:row r="5" ht="20" customHeight="1">
      <x:c r="A5" s="38" t="str">
        <x:v>Guest attendance</x:v>
      </x:c>
      <x:c r="B5" s="38" t="str">
        <x:v>Not recorded</x:v>
      </x:c>
      <x:c r="C5" s="38" t="str">
        <x:v>Staff meals</x:v>
      </x:c>
      <x:c r="D5" s="39" t="str">
        <x:v>None listed</x:v>
      </x:c>
    </x:row>
    <x:row r="6">
      <x:c r="A6" s="39"/>
      <x:c r="B6" s="39"/>
      <x:c r="C6" s="39"/>
      <x:c r="D6" s="39"/>
    </x:row>
    <x:row r="7" ht="26" customHeight="1">
      <x:c r="A7" s="55" t="str">
        <x:v>Role</x:v>
      </x:c>
      <x:c r="B7" s="55" t="str">
        <x:v>Name</x:v>
      </x:c>
      <x:c r="C7" s="55" t="str">
        <x:v>Checked on Source</x:v>
      </x:c>
      <x:c r="D7" s="55" t="str">
        <x:v>Notes</x:v>
      </x:c>
    </x:row>
    <x:row r="8">
      <x:c r="A8" s="39" t="str">
        <x:v>Server</x:v>
      </x:c>
      <x:c r="B8" s="39" t="str">
        <x:v>Olena</x:v>
      </x:c>
      <x:c r="C8" s="45" t="str">
        <x:v>Yes</x:v>
      </x:c>
      <x:c r="D8" s="46" t="str"/>
    </x:row>
    <x:row r="9">
      <x:c r="A9" s="39" t="str">
        <x:v>Server</x:v>
      </x:c>
      <x:c r="B9" s="39" t="str">
        <x:v>Svitlana</x:v>
      </x:c>
      <x:c r="C9" s="45" t="str">
        <x:v>Yes</x:v>
      </x:c>
      <x:c r="D9" s="46" t="str"/>
    </x:row>
    <x:row r="10">
      <x:c r="A10" s="39" t="str">
        <x:v>Server</x:v>
      </x:c>
      <x:c r="B10" s="39" t="str">
        <x:v>Linda</x:v>
      </x:c>
      <x:c r="C10" s="45" t="str">
        <x:v>Yes</x:v>
      </x:c>
      <x:c r="D10" s="46" t="str"/>
    </x:row>
    <x:row r="11">
      <x:c r="A11" s="39" t="str">
        <x:v>Server</x:v>
      </x:c>
      <x:c r="B11" s="39" t="str">
        <x:v>Khrystyna</x:v>
      </x:c>
      <x:c r="C11" s="45" t="str">
        <x:v>Yes</x:v>
      </x:c>
      <x:c r="D11" s="46" t="str"/>
    </x:row>
    <x:row r="12">
      <x:c r="A12" s="39" t="str">
        <x:v>Bar</x:v>
      </x:c>
      <x:c r="B12" s="39" t="str">
        <x:v>Joleen</x:v>
      </x:c>
      <x:c r="C12" s="45" t="str">
        <x:v>Yes</x:v>
      </x:c>
      <x:c r="D12" s="46" t="str"/>
    </x:row>
    <x:row r="13">
      <x:c r="A13" s="39" t="str">
        <x:v>Bar</x:v>
      </x:c>
      <x:c r="B13" s="39" t="str">
        <x:v>Daniel</x:v>
      </x:c>
      <x:c r="C13" s="45" t="str">
        <x:v>Yes</x:v>
      </x:c>
      <x:c r="D13" s="46" t="str"/>
    </x:row>
    <x:row r="14">
      <x:c r="A14" s="39" t="str">
        <x:v>Kitchen</x:v>
      </x:c>
      <x:c r="B14" s="39" t="str">
        <x:v>Colleen</x:v>
      </x:c>
      <x:c r="C14" s="45" t="str">
        <x:v>Yes</x:v>
      </x:c>
      <x:c r="D14" s="46" t="str"/>
    </x:row>
    <x:row r="15">
      <x:c r="A15" s="39" t="str">
        <x:v>Kitchen</x:v>
      </x:c>
      <x:c r="B15" s="39" t="str">
        <x:v>Maria</x:v>
      </x:c>
      <x:c r="C15" s="45" t="str">
        <x:v>Yes</x:v>
      </x:c>
      <x:c r="D15" s="46" t="str"/>
    </x:row>
    <x:row r="16">
      <x:c r="A16" s="39" t="str">
        <x:v>Kitchen</x:v>
      </x:c>
      <x:c r="B16" s="39" t="str">
        <x:v>Ash</x:v>
      </x:c>
      <x:c r="C16" s="45" t="str">
        <x:v>Yes</x:v>
      </x:c>
      <x:c r="D16" s="46" t="str">
        <x:v>Replaced a crossed-out entry on source</x:v>
      </x:c>
    </x:row>
    <x:row r="17">
      <x:c r="A17" s="39" t="str">
        <x:v>Kitchen</x:v>
      </x:c>
      <x:c r="B17" s="39" t="str">
        <x:v>Jordan</x:v>
      </x:c>
      <x:c r="C17" s="45" t="str">
        <x:v>Yes</x:v>
      </x:c>
      <x:c r="D17" s="46" t="str"/>
    </x:row>
    <x:row r="18">
      <x:c r="A18" s="39" t="str">
        <x:v>Cast &amp; Band</x:v>
      </x:c>
      <x:c r="B18" s="39" t="str">
        <x:v>Keith Power</x:v>
      </x:c>
      <x:c r="C18" s="45" t="str">
        <x:v>Yes</x:v>
      </x:c>
      <x:c r="D18" s="46" t="str"/>
    </x:row>
    <x:row r="19">
      <x:c r="A19" s="39" t="str">
        <x:v>Cast &amp; Band</x:v>
      </x:c>
      <x:c r="B19" s="39" t="str">
        <x:v>Dan Lasby</x:v>
      </x:c>
      <x:c r="C19" s="45" t="str">
        <x:v>Yes</x:v>
      </x:c>
      <x:c r="D19" s="46" t="str"/>
    </x:row>
    <x:row r="20">
      <x:c r="A20" s="39" t="str">
        <x:v>Cast &amp; Band</x:v>
      </x:c>
      <x:c r="B20" s="39" t="str">
        <x:v>Kara Noftle</x:v>
      </x:c>
      <x:c r="C20" s="45" t="str">
        <x:v>Yes</x:v>
      </x:c>
      <x:c r="D20" s="46" t="str"/>
    </x:row>
    <x:row r="21">
      <x:c r="A21" s="39" t="str">
        <x:v>Cast &amp; Band</x:v>
      </x:c>
      <x:c r="B21" s="39" t="str">
        <x:v>Natalie</x:v>
      </x:c>
      <x:c r="C21" s="45" t="str">
        <x:v>Yes</x:v>
      </x:c>
      <x:c r="D21" s="46" t="str"/>
    </x:row>
    <x:row r="22">
      <x:c r="A22" s="39" t="str">
        <x:v>Cast &amp; Band</x:v>
      </x:c>
      <x:c r="B22" s="39" t="str">
        <x:v>Robyn</x:v>
      </x:c>
      <x:c r="C22" s="45" t="str">
        <x:v>Yes</x:v>
      </x:c>
      <x:c r="D22" s="46" t="str"/>
    </x:row>
    <x:row r="23">
      <x:c r="A23" s="39" t="str">
        <x:v>Cast &amp; Band</x:v>
      </x:c>
      <x:c r="B23" s="39" t="str">
        <x:v>Julia</x:v>
      </x:c>
      <x:c r="C23" s="45" t="str">
        <x:v>Yes</x:v>
      </x:c>
      <x:c r="D23" s="46" t="str"/>
    </x:row>
    <x:row r="24">
      <x:c r="A24" s="39" t="str">
        <x:v>Cast &amp; Band</x:v>
      </x:c>
      <x:c r="B24" s="39" t="str">
        <x:v>Marco</x:v>
      </x:c>
      <x:c r="C24" s="45" t="str">
        <x:v>Yes</x:v>
      </x:c>
      <x:c r="D24" s="46" t="str"/>
    </x:row>
    <x:row r="25">
      <x:c r="A25" s="39" t="str">
        <x:v>Cast &amp; Band</x:v>
      </x:c>
      <x:c r="B25" s="39" t="str">
        <x:v>Boomer</x:v>
      </x:c>
      <x:c r="C25" s="45" t="str">
        <x:v>Yes</x:v>
      </x:c>
      <x:c r="D25" s="46" t="str"/>
    </x:row>
    <x:row r="26">
      <x:c r="A26" s="39" t="str">
        <x:v>Cast &amp; Band</x:v>
      </x:c>
      <x:c r="B26" s="39" t="str">
        <x:v>Ron</x:v>
      </x:c>
      <x:c r="C26" s="45" t="str">
        <x:v>Yes</x:v>
      </x:c>
      <x:c r="D26" s="46" t="str"/>
    </x:row>
    <x:row r="27">
      <x:c r="A27" s="39" t="str">
        <x:v>Host</x:v>
      </x:c>
      <x:c r="B27" s="39" t="str">
        <x:v>Jackie Pynn</x:v>
      </x:c>
      <x:c r="C27" s="45" t="str">
        <x:v>Yes</x:v>
      </x:c>
      <x:c r="D27" s="46" t="str"/>
    </x:row>
    <x:row r="28">
      <x:c r="A28" s="39" t="str">
        <x:v>50/50 Host</x:v>
      </x:c>
      <x:c r="B28" s="39" t="str">
        <x:v>Yana</x:v>
      </x:c>
      <x:c r="C28" s="45" t="str">
        <x:v>Yes</x:v>
      </x:c>
      <x:c r="D28" s="46" t="str"/>
    </x:row>
    <x:row r="29">
      <x:c r="A29" s="39" t="str">
        <x:v>Tech</x:v>
      </x:c>
      <x:c r="B29" s="39" t="str">
        <x:v>Adam Blackwood</x:v>
      </x:c>
      <x:c r="C29" s="45" t="str">
        <x:v>Yes</x:v>
      </x:c>
      <x:c r="D29" s="46" t="str"/>
    </x:row>
  </x:sheetData>
  <x:pageMargins left="0.7" right="0.7" top="0.75" bottom="0.75" header="0.3" footer="0.3"/>
  <x:tableParts count="1">
    <x:tablePart xmlns:r="http://schemas.openxmlformats.org/officeDocument/2006/relationships" r:id="Rb55a585e818b42e7"/>
  </x:tableParts>
</x:worksheet>
</file>