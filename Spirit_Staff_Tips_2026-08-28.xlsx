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1fbcdf7b1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p Hours" sheetId="1" r:id="Redeb19646fad4e53"/>
    <x:sheet xmlns:r="http://schemas.openxmlformats.org/officeDocument/2006/relationships" name="Night Staff" sheetId="2" r:id="R56e134d5f658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d, yyyy"/>
    <x:numFmt numFmtId="201" formatCode="0.00"/>
  </x:numFmts>
  <x:fonts count="8">
    <x:font>
      <x:sz val="11"/>
      <x:name val="Carlito"/>
    </x:font>
    <x:font>
      <x:b/>
      <x:sz val="15"/>
      <x:color rgb="FF17365D"/>
      <x:name val="Arial"/>
    </x:font>
    <x:font>
      <x:b/>
      <x:sz val="10"/>
      <x:color rgb="FF374151"/>
      <x:name val="Arial"/>
    </x:font>
    <x:font>
      <x:i/>
      <x:sz val="9"/>
      <x:color rgb="FF6B7280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8">
    <x:border/>
    <x:border>
      <x:bottom style="thin">
        <x:color rgb="FFC6A15B"/>
      </x:bottom>
    </x:border>
    <x:border>
      <x:left style="thin">
        <x:color rgb="FF9CA3AF"/>
      </x:left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2" borderId="2" xfId="0" applyNumberFormat="1" applyFont="1" applyFill="1" applyBorder="1"/>
    <x:xf numFmtId="0" fontId="0" fillId="2" borderId="4" xfId="0" applyNumberFormat="1" applyFont="1" applyFill="1" applyBorder="1"/>
    <x:xf numFmtId="0" fontId="0" fillId="2" borderId="6" xfId="0" applyNumberFormat="1" applyFont="1" applyFill="1" applyBorder="1"/>
    <x:xf numFmtId="0" fontId="4" fillId="2" borderId="2" xfId="0" applyNumberFormat="1" applyFont="1" applyFill="1" applyBorder="1"/>
    <x:xf numFmtId="0" fontId="4" fillId="2" borderId="4" xfId="0" applyNumberFormat="1" applyFont="1" applyFill="1" applyBorder="1"/>
    <x:xf numFmtId="0" fontId="4" fillId="2" borderId="6" xfId="0" applyNumberFormat="1" applyFont="1" applyFill="1" applyBorder="1"/>
    <x:xf numFmtId="201" fontId="0" fillId="0" borderId="0" xfId="0" applyNumberFormat="1" applyFont="1" applyFill="1" applyBorder="1"/>
    <x:xf numFmtId="201" fontId="0" fillId="0" borderId="3" xfId="0" applyNumberFormat="1" applyFont="1" applyFill="1" applyBorder="1"/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201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201" fontId="5" fillId="0" borderId="3" xfId="0" applyNumberFormat="1" applyFont="1" applyFill="1" applyBorder="1"/>
    <x:xf numFmtId="201" fontId="5" fillId="0" borderId="5" xfId="0" applyNumberFormat="1" applyFont="1" applyFill="1" applyBorder="1"/>
    <x:xf numFmtId="201" fontId="5" fillId="0" borderId="7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left"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b2ac63b484ed5" /><Relationship Type="http://schemas.openxmlformats.org/officeDocument/2006/relationships/theme" Target="/xl/theme/theme1.xml" Id="R9a38d89bdb33446b" /><Relationship Type="http://schemas.openxmlformats.org/officeDocument/2006/relationships/sharedStrings" Target="/xl/sharedStrings.xml" Id="R57a5be6913e147de" /><Relationship Type="http://schemas.openxmlformats.org/officeDocument/2006/relationships/worksheet" Target="/xl/worksheets/sheet1.xml" Id="Redeb19646fad4e53" /><Relationship Type="http://schemas.openxmlformats.org/officeDocument/2006/relationships/worksheet" Target="/xl/worksheets/sheet2.xml" Id="R56e134d5f6584fc3" /></Relationships>
</file>

<file path=xl/tables/table1.xml><?xml version="1.0" encoding="utf-8"?>
<x:table xmlns:x="http://schemas.openxmlformats.org/spreadsheetml/2006/main" id="1" name="TipHours_20260828" displayName="TipHours_20260828" ref="A6:F19" headerRowCount="1" totalsRowCount="0" totalsRowShown="0">
  <x:autoFilter ref="A6:F19"/>
  <x:tableColumns count="6">
    <x:tableColumn id="1" name="Last Name"/>
    <x:tableColumn id="2" name="First Name"/>
    <x:tableColumn id="3" name="Job Title"/>
    <x:tableColumn id="4" name="Regular Hours"/>
    <x:tableColumn id="5" name="Included in Total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ightStaff_20260828" displayName="NightStaff_20260828" ref="A7:D28" headerRowCount="1" totalsRowCount="0" totalsRowShown="0">
  <x:autoFilter ref="A7:D28"/>
  <x:tableColumns count="4">
    <x:tableColumn id="1" name="Role"/>
    <x:tableColumn id="2" name="Name"/>
    <x:tableColumn id="3" name="Checked on Source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66350e965e4c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e287a720e843f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15" hidden="0" customWidth="1"/>
    <x:col min="5" max="5" width="18" hidden="0" customWidth="1"/>
    <x:col min="6" max="6" width="48" hidden="0" customWidth="1"/>
  </x:cols>
  <x:sheetData>
    <x:row r="1" ht="10" customHeight="1"/>
    <x:row r="2" ht="24" customHeight="1">
      <x:c r="A2" s="53" t="str">
        <x:v>Spirit Staff Tip Hours</x:v>
      </x:c>
      <x:c r="B2" s="39"/>
      <x:c r="C2" s="39"/>
      <x:c r="D2" s="39"/>
      <x:c r="E2" s="39"/>
      <x:c r="F2" s="39"/>
    </x:row>
    <x:row r="3">
      <x:c r="A3" s="40" t="str">
        <x:v>Date</x:v>
      </x:c>
      <x:c r="B3" s="41" t="n">
        <x:v>46262</x:v>
      </x:c>
      <x:c r="C3" s="40" t="str"/>
      <x:c r="D3" s="40" t="str">
        <x:v>Show</x:v>
      </x:c>
      <x:c r="E3" s="40" t="str">
        <x:v>Forever Country</x:v>
      </x:c>
      <x:c r="F3" s="40" t="str"/>
    </x:row>
    <x:row r="4" ht="20" customHeight="1">
      <x:c r="A4" s="38" t="str">
        <x:v>Source</x:v>
      </x:c>
      <x:c r="B4" s="42" t="str">
        <x:v>Aug-28-206(1).pdf, page 1</x:v>
      </x:c>
      <x:c r="C4" s="42" t="str"/>
      <x:c r="D4" s="42" t="str"/>
      <x:c r="E4" s="42" t="str"/>
      <x:c r="F4" s="42" t="str"/>
    </x:row>
    <x:row r="5">
      <x:c r="A5" s="39"/>
      <x:c r="B5" s="39"/>
      <x:c r="C5" s="39"/>
      <x:c r="D5" s="39"/>
      <x:c r="E5" s="39"/>
      <x:c r="F5" s="39"/>
    </x:row>
    <x:row r="6" ht="26" customHeight="1">
      <x:c r="A6" s="55" t="str">
        <x:v>Last Name</x:v>
      </x:c>
      <x:c r="B6" s="55" t="str">
        <x:v>First Name</x:v>
      </x:c>
      <x:c r="C6" s="55" t="str">
        <x:v>Job Title</x:v>
      </x:c>
      <x:c r="D6" s="55" t="str">
        <x:v>Regular Hours</x:v>
      </x:c>
      <x:c r="E6" s="55" t="str">
        <x:v>Included in Total</x:v>
      </x:c>
      <x:c r="F6" s="55" t="str">
        <x:v>Notes</x:v>
      </x:c>
    </x:row>
    <x:row r="7">
      <x:c r="A7" s="43" t="str">
        <x:v>Dickson</x:v>
      </x:c>
      <x:c r="B7" s="43" t="str">
        <x:v>Joleen</x:v>
      </x:c>
      <x:c r="C7" s="43" t="str">
        <x:v>Bartender</x:v>
      </x:c>
      <x:c r="D7" s="44" t="n">
        <x:v>5.73</x:v>
      </x:c>
      <x:c r="E7" s="45" t="str">
        <x:v>Yes</x:v>
      </x:c>
      <x:c r="F7" s="46" t="str"/>
    </x:row>
    <x:row r="8">
      <x:c r="A8" s="43" t="str">
        <x:v>Gordon</x:v>
      </x:c>
      <x:c r="B8" s="43" t="str">
        <x:v>Daniel</x:v>
      </x:c>
      <x:c r="C8" s="43" t="str">
        <x:v>Bartender</x:v>
      </x:c>
      <x:c r="D8" s="44" t="n">
        <x:v>5</x:v>
      </x:c>
      <x:c r="E8" s="45" t="str">
        <x:v>Yes</x:v>
      </x:c>
      <x:c r="F8" s="46" t="str"/>
    </x:row>
    <x:row r="9">
      <x:c r="A9" s="43" t="str">
        <x:v>Kashentseva</x:v>
      </x:c>
      <x:c r="B9" s="43" t="str">
        <x:v>Mariia</x:v>
      </x:c>
      <x:c r="C9" s="43" t="str">
        <x:v>Service</x:v>
      </x:c>
      <x:c r="D9" s="44" t="n">
        <x:v>4.3</x:v>
      </x:c>
      <x:c r="E9" s="45" t="str">
        <x:v>Yes</x:v>
      </x:c>
      <x:c r="F9" s="46" t="str"/>
    </x:row>
    <x:row r="10">
      <x:c r="A10" s="43" t="str">
        <x:v>Lundrigan</x:v>
      </x:c>
      <x:c r="B10" s="43" t="str">
        <x:v>William</x:v>
      </x:c>
      <x:c r="C10" s="43" t="str">
        <x:v>Kitchen</x:v>
      </x:c>
      <x:c r="D10" s="44" t="n">
        <x:v>6.15</x:v>
      </x:c>
      <x:c r="E10" s="45" t="str">
        <x:v>Yes</x:v>
      </x:c>
      <x:c r="F10" s="46" t="str"/>
    </x:row>
    <x:row r="11">
      <x:c r="A11" s="43" t="str">
        <x:v>Martynova</x:v>
      </x:c>
      <x:c r="B11" s="43" t="str">
        <x:v>Olena</x:v>
      </x:c>
      <x:c r="C11" s="43" t="str">
        <x:v>Service</x:v>
      </x:c>
      <x:c r="D11" s="44" t="n">
        <x:v>7.38</x:v>
      </x:c>
      <x:c r="E11" s="45" t="str">
        <x:v>Yes</x:v>
      </x:c>
      <x:c r="F11" s="46" t="str"/>
    </x:row>
    <x:row r="12">
      <x:c r="A12" s="43" t="str">
        <x:v>O'Reilly</x:v>
      </x:c>
      <x:c r="B12" s="43" t="str">
        <x:v>Colleen</x:v>
      </x:c>
      <x:c r="C12" s="43" t="str">
        <x:v>Chef</x:v>
      </x:c>
      <x:c r="D12" s="44" t="n">
        <x:v>8</x:v>
      </x:c>
      <x:c r="E12" s="45" t="str">
        <x:v>Yes</x:v>
      </x:c>
      <x:c r="F12" s="46" t="str"/>
    </x:row>
    <x:row r="13">
      <x:c r="A13" s="43" t="str">
        <x:v>Pasechniuk</x:v>
      </x:c>
      <x:c r="B13" s="43" t="str">
        <x:v>Yana</x:v>
      </x:c>
      <x:c r="C13" s="43" t="str">
        <x:v>50/50</x:v>
      </x:c>
      <x:c r="D13" s="44" t="n">
        <x:v>3.97</x:v>
      </x:c>
      <x:c r="E13" s="45" t="str">
        <x:v>Yes</x:v>
      </x:c>
      <x:c r="F13" s="46" t="str"/>
    </x:row>
    <x:row r="14">
      <x:c r="A14" s="43" t="str">
        <x:v>Plsky</x:v>
      </x:c>
      <x:c r="B14" s="43" t="str">
        <x:v>Maks</x:v>
      </x:c>
      <x:c r="C14" s="43" t="str">
        <x:v>Busser</x:v>
      </x:c>
      <x:c r="D14" s="44" t="n">
        <x:v>4.83</x:v>
      </x:c>
      <x:c r="E14" s="45" t="str">
        <x:v>Yes</x:v>
      </x:c>
      <x:c r="F14" s="46" t="str"/>
    </x:row>
    <x:row r="15">
      <x:c r="A15" s="43" t="str">
        <x:v>Pynn</x:v>
      </x:c>
      <x:c r="B15" s="43" t="str">
        <x:v>Jackie</x:v>
      </x:c>
      <x:c r="C15" s="43" t="str">
        <x:v>Service</x:v>
      </x:c>
      <x:c r="D15" s="44" t="n">
        <x:v>5.35</x:v>
      </x:c>
      <x:c r="E15" s="45" t="str">
        <x:v>Yes</x:v>
      </x:c>
      <x:c r="F15" s="46" t="str"/>
    </x:row>
    <x:row r="16">
      <x:c r="A16" s="43" t="str">
        <x:v>Sweetapple</x:v>
      </x:c>
      <x:c r="B16" s="43" t="str">
        <x:v>Deborah</x:v>
      </x:c>
      <x:c r="C16" s="43" t="str">
        <x:v>Server Manager</x:v>
      </x:c>
      <x:c r="D16" s="44" t="n">
        <x:v>4.88</x:v>
      </x:c>
      <x:c r="E16" s="45" t="str">
        <x:v>Yes</x:v>
      </x:c>
      <x:c r="F16" s="46" t="str"/>
    </x:row>
    <x:row r="17">
      <x:c r="A17" s="43" t="str">
        <x:v>Wall</x:v>
      </x:c>
      <x:c r="B17" s="43" t="str">
        <x:v>Jordan</x:v>
      </x:c>
      <x:c r="C17" s="43" t="str">
        <x:v>Kitchen</x:v>
      </x:c>
      <x:c r="D17" s="44" t="n">
        <x:v>4.42</x:v>
      </x:c>
      <x:c r="E17" s="45" t="str">
        <x:v>Yes</x:v>
      </x:c>
      <x:c r="F17" s="46" t="str"/>
    </x:row>
    <x:row r="18">
      <x:c r="A18" s="43" t="str">
        <x:v>Zavadetska</x:v>
      </x:c>
      <x:c r="B18" s="43" t="str">
        <x:v>Khrystyna</x:v>
      </x:c>
      <x:c r="C18" s="43" t="str">
        <x:v>Busser</x:v>
      </x:c>
      <x:c r="D18" s="44" t="n">
        <x:v>3.55</x:v>
      </x:c>
      <x:c r="E18" s="45" t="str">
        <x:v>Yes</x:v>
      </x:c>
      <x:c r="F18" s="46" t="str"/>
    </x:row>
    <x:row r="19">
      <x:c r="A19" s="43" t="str">
        <x:v>Office</x:v>
      </x:c>
      <x:c r="B19" s="43" t="str"/>
      <x:c r="C19" s="43" t="str"/>
      <x:c r="D19" s="44" t="n">
        <x:v>6</x:v>
      </x:c>
      <x:c r="E19" s="45" t="str">
        <x:v>Yes</x:v>
      </x:c>
      <x:c r="F19" s="46" t="str"/>
    </x:row>
    <x:row r="20">
      <x:c r="A20" s="39"/>
      <x:c r="B20" s="39"/>
      <x:c r="C20" s="39"/>
      <x:c r="D20" s="44"/>
      <x:c r="E20" s="39"/>
      <x:c r="F20" s="39"/>
    </x:row>
    <x:row r="21">
      <x:c r="A21" s="39"/>
      <x:c r="B21" s="39"/>
      <x:c r="C21" s="47" t="str">
        <x:v>Calculated included hours</x:v>
      </x:c>
      <x:c r="D21" s="48" t="n">
        <x:f>SUMIFS(D7:D19,E7:E19,"Yes")</x:f>
        <x:v>69.56</x:v>
      </x:c>
      <x:c r="E21" s="39"/>
      <x:c r="F21" s="39"/>
    </x:row>
    <x:row r="22">
      <x:c r="A22" s="39"/>
      <x:c r="B22" s="39"/>
      <x:c r="C22" s="49" t="str">
        <x:v>Source reported total</x:v>
      </x:c>
      <x:c r="D22" s="50" t="n">
        <x:v>69.56</x:v>
      </x:c>
      <x:c r="E22" s="39"/>
      <x:c r="F22" s="39"/>
    </x:row>
    <x:row r="23">
      <x:c r="A23" s="39"/>
      <x:c r="B23" s="39"/>
      <x:c r="C23" s="51" t="str">
        <x:v>Difference</x:v>
      </x:c>
      <x:c r="D23" s="52" t="n">
        <x:f>D21-D22</x:f>
        <x:v>0</x:v>
      </x:c>
      <x:c r="E23" s="39"/>
      <x:c r="F23" s="39"/>
    </x:row>
  </x:sheetData>
  <x:pageMargins left="0.7" right="0.7" top="0.75" bottom="0.75" header="0.3" footer="0.3"/>
  <x:tableParts count="1">
    <x:tablePart xmlns:r="http://schemas.openxmlformats.org/officeDocument/2006/relationships" r:id="Rd866350e965e4c80"/>
  </x:tableParts>
</x:worksheet>
</file>

<file path=xl/worksheets/sheet2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20" hidden="0" customWidth="1"/>
    <x:col min="4" max="4" width="49" hidden="0" customWidth="1"/>
  </x:cols>
  <x:sheetData>
    <x:row r="1" ht="10" customHeight="1"/>
    <x:row r="2" ht="24" customHeight="1">
      <x:c r="A2" s="53" t="str">
        <x:v>Spirit Staff for the Night</x:v>
      </x:c>
      <x:c r="B2" s="39"/>
      <x:c r="C2" s="39"/>
      <x:c r="D2" s="39"/>
    </x:row>
    <x:row r="3">
      <x:c r="A3" s="40" t="str">
        <x:v>Date</x:v>
      </x:c>
      <x:c r="B3" s="41" t="n">
        <x:v>46262</x:v>
      </x:c>
      <x:c r="C3" s="40" t="str"/>
      <x:c r="D3" s="40" t="str">
        <x:v>Show</x:v>
      </x:c>
      <x:c r="E3" s="3" t="str">
        <x:v>Forever Country</x:v>
      </x:c>
      <x:c r="F3" s="3" t="str"/>
    </x:row>
    <x:row r="4" ht="20" customHeight="1">
      <x:c r="A4" s="38" t="str">
        <x:v>Source</x:v>
      </x:c>
      <x:c r="B4" s="42" t="str">
        <x:v>staff_Aug-28(1).pdf, page 1</x:v>
      </x:c>
      <x:c r="C4" s="42" t="str"/>
      <x:c r="D4" s="42" t="str"/>
      <x:c r="E4" s="6" t="str"/>
      <x:c r="F4" s="6" t="str"/>
    </x:row>
    <x:row r="5" ht="20" customHeight="1">
      <x:c r="A5" s="38" t="str">
        <x:v>Guest attendance</x:v>
      </x:c>
      <x:c r="B5" s="38" t="n">
        <x:v>86</x:v>
      </x:c>
      <x:c r="C5" s="38" t="str">
        <x:v>Staff meals</x:v>
      </x:c>
      <x:c r="D5" s="39" t="str">
        <x:v>None listed</x:v>
      </x:c>
    </x:row>
    <x:row r="6">
      <x:c r="A6" s="39"/>
      <x:c r="B6" s="39"/>
      <x:c r="C6" s="39"/>
      <x:c r="D6" s="39"/>
    </x:row>
    <x:row r="7" ht="26" customHeight="1">
      <x:c r="A7" s="55" t="str">
        <x:v>Role</x:v>
      </x:c>
      <x:c r="B7" s="55" t="str">
        <x:v>Name</x:v>
      </x:c>
      <x:c r="C7" s="55" t="str">
        <x:v>Checked on Source</x:v>
      </x:c>
      <x:c r="D7" s="55" t="str">
        <x:v>Notes</x:v>
      </x:c>
    </x:row>
    <x:row r="8">
      <x:c r="A8" s="39" t="str">
        <x:v>Server</x:v>
      </x:c>
      <x:c r="B8" s="39" t="str">
        <x:v>Jackie</x:v>
      </x:c>
      <x:c r="C8" s="45" t="str">
        <x:v>Yes</x:v>
      </x:c>
      <x:c r="D8" s="46" t="str"/>
    </x:row>
    <x:row r="9">
      <x:c r="A9" s="39" t="str">
        <x:v>Server</x:v>
      </x:c>
      <x:c r="B9" s="39" t="str">
        <x:v>Olena</x:v>
      </x:c>
      <x:c r="C9" s="45" t="str">
        <x:v>Yes</x:v>
      </x:c>
      <x:c r="D9" s="46" t="str"/>
    </x:row>
    <x:row r="10">
      <x:c r="A10" s="39" t="str">
        <x:v>Server</x:v>
      </x:c>
      <x:c r="B10" s="39" t="str">
        <x:v>Maks</x:v>
      </x:c>
      <x:c r="C10" s="45" t="str">
        <x:v>Yes</x:v>
      </x:c>
      <x:c r="D10" s="46" t="str"/>
    </x:row>
    <x:row r="11">
      <x:c r="A11" s="39" t="str">
        <x:v>Server</x:v>
      </x:c>
      <x:c r="B11" s="39" t="str">
        <x:v>Khrystyna</x:v>
      </x:c>
      <x:c r="C11" s="45" t="str">
        <x:v>Yes</x:v>
      </x:c>
      <x:c r="D11" s="46" t="str"/>
    </x:row>
    <x:row r="12">
      <x:c r="A12" s="39" t="str">
        <x:v>Bar</x:v>
      </x:c>
      <x:c r="B12" s="39" t="str">
        <x:v>Joleen</x:v>
      </x:c>
      <x:c r="C12" s="45" t="str">
        <x:v>Yes</x:v>
      </x:c>
      <x:c r="D12" s="46" t="str"/>
    </x:row>
    <x:row r="13">
      <x:c r="A13" s="39" t="str">
        <x:v>Bar</x:v>
      </x:c>
      <x:c r="B13" s="39" t="str">
        <x:v>Daniel</x:v>
      </x:c>
      <x:c r="C13" s="45" t="str">
        <x:v>Yes</x:v>
      </x:c>
      <x:c r="D13" s="46" t="str"/>
    </x:row>
    <x:row r="14">
      <x:c r="A14" s="39" t="str">
        <x:v>Kitchen</x:v>
      </x:c>
      <x:c r="B14" s="39" t="str">
        <x:v>Mariia</x:v>
      </x:c>
      <x:c r="C14" s="45" t="str">
        <x:v>Yes</x:v>
      </x:c>
      <x:c r="D14" s="46" t="str">
        <x:v>Handwritten first name appears as Mariia/Marisha</x:v>
      </x:c>
    </x:row>
    <x:row r="15">
      <x:c r="A15" s="39" t="str">
        <x:v>Kitchen</x:v>
      </x:c>
      <x:c r="B15" s="39" t="str">
        <x:v>Colleen</x:v>
      </x:c>
      <x:c r="C15" s="45" t="str">
        <x:v>Yes</x:v>
      </x:c>
      <x:c r="D15" s="46" t="str"/>
    </x:row>
    <x:row r="16">
      <x:c r="A16" s="39" t="str">
        <x:v>Kitchen</x:v>
      </x:c>
      <x:c r="B16" s="39" t="str">
        <x:v>William</x:v>
      </x:c>
      <x:c r="C16" s="45" t="str">
        <x:v>Yes</x:v>
      </x:c>
      <x:c r="D16" s="46" t="str"/>
    </x:row>
    <x:row r="17">
      <x:c r="A17" s="39" t="str">
        <x:v>Kitchen</x:v>
      </x:c>
      <x:c r="B17" s="39" t="str">
        <x:v>Jordan</x:v>
      </x:c>
      <x:c r="C17" s="45" t="str">
        <x:v>Yes</x:v>
      </x:c>
      <x:c r="D17" s="46" t="str"/>
    </x:row>
    <x:row r="18">
      <x:c r="A18" s="39" t="str">
        <x:v>Cast &amp; Band</x:v>
      </x:c>
      <x:c r="B18" s="39" t="str">
        <x:v>Dan Lasby</x:v>
      </x:c>
      <x:c r="C18" s="45" t="str">
        <x:v>Yes</x:v>
      </x:c>
      <x:c r="D18" s="46" t="str"/>
    </x:row>
    <x:row r="19">
      <x:c r="A19" s="39" t="str">
        <x:v>Cast &amp; Band</x:v>
      </x:c>
      <x:c r="B19" s="39" t="str">
        <x:v>Caitlin Pretty</x:v>
      </x:c>
      <x:c r="C19" s="45" t="str">
        <x:v>Yes</x:v>
      </x:c>
      <x:c r="D19" s="46" t="str"/>
    </x:row>
    <x:row r="20">
      <x:c r="A20" s="39" t="str">
        <x:v>Cast &amp; Band</x:v>
      </x:c>
      <x:c r="B20" s="39" t="str">
        <x:v>Kara</x:v>
      </x:c>
      <x:c r="C20" s="45" t="str">
        <x:v>Yes</x:v>
      </x:c>
      <x:c r="D20" s="46" t="str"/>
    </x:row>
    <x:row r="21">
      <x:c r="A21" s="39" t="str">
        <x:v>Cast &amp; Band</x:v>
      </x:c>
      <x:c r="B21" s="39" t="str">
        <x:v>Jeremy Dicks</x:v>
      </x:c>
      <x:c r="C21" s="45" t="str">
        <x:v>Yes</x:v>
      </x:c>
      <x:c r="D21" s="46" t="str"/>
    </x:row>
    <x:row r="22">
      <x:c r="A22" s="39" t="str">
        <x:v>Cast &amp; Band</x:v>
      </x:c>
      <x:c r="B22" s="39" t="str">
        <x:v>Andrew Snell</x:v>
      </x:c>
      <x:c r="C22" s="45" t="str">
        <x:v>Yes</x:v>
      </x:c>
      <x:c r="D22" s="46" t="str"/>
    </x:row>
    <x:row r="23">
      <x:c r="A23" s="39" t="str">
        <x:v>Cast &amp; Band</x:v>
      </x:c>
      <x:c r="B23" s="39" t="str">
        <x:v>Marco</x:v>
      </x:c>
      <x:c r="C23" s="45" t="str">
        <x:v>Yes</x:v>
      </x:c>
      <x:c r="D23" s="46" t="str"/>
    </x:row>
    <x:row r="24">
      <x:c r="A24" s="39" t="str">
        <x:v>Cast &amp; Band</x:v>
      </x:c>
      <x:c r="B24" s="39" t="str">
        <x:v>Logan Fletcher</x:v>
      </x:c>
      <x:c r="C24" s="45" t="str">
        <x:v>Yes</x:v>
      </x:c>
      <x:c r="D24" s="46" t="str"/>
    </x:row>
    <x:row r="25">
      <x:c r="A25" s="39" t="str">
        <x:v>Cast &amp; Band</x:v>
      </x:c>
      <x:c r="B25" s="39" t="str">
        <x:v>Paddy Byrne</x:v>
      </x:c>
      <x:c r="C25" s="45" t="str">
        <x:v>Yes</x:v>
      </x:c>
      <x:c r="D25" s="46" t="str"/>
    </x:row>
    <x:row r="26">
      <x:c r="A26" s="39" t="str">
        <x:v>Host</x:v>
      </x:c>
      <x:c r="B26" s="39" t="str">
        <x:v>Deborah</x:v>
      </x:c>
      <x:c r="C26" s="45" t="str">
        <x:v>Yes</x:v>
      </x:c>
      <x:c r="D26" s="46" t="str"/>
    </x:row>
    <x:row r="27">
      <x:c r="A27" s="39" t="str">
        <x:v>50/50 Host</x:v>
      </x:c>
      <x:c r="B27" s="39" t="str">
        <x:v>Yana</x:v>
      </x:c>
      <x:c r="C27" s="45" t="str">
        <x:v>Yes</x:v>
      </x:c>
      <x:c r="D27" s="46" t="str"/>
    </x:row>
    <x:row r="28">
      <x:c r="A28" s="39" t="str">
        <x:v>Tech</x:v>
      </x:c>
      <x:c r="B28" s="39" t="str">
        <x:v>Adam</x:v>
      </x:c>
      <x:c r="C28" s="45" t="str">
        <x:v>Yes</x:v>
      </x:c>
      <x:c r="D28" s="46" t="str"/>
    </x:row>
  </x:sheetData>
  <x:pageMargins left="0.7" right="0.7" top="0.75" bottom="0.75" header="0.3" footer="0.3"/>
  <x:tableParts count="1">
    <x:tablePart xmlns:r="http://schemas.openxmlformats.org/officeDocument/2006/relationships" r:id="Rc5e287a720e843fa"/>
  </x:tableParts>
</x:worksheet>
</file>